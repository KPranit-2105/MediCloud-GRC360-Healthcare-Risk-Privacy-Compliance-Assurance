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25" customWidth="1" min="4" max="4"/>
    <col width="19" customWidth="1" min="5" max="5"/>
    <col width="18" customWidth="1" min="6" max="6"/>
    <col width="27" customWidth="1" min="7" max="7"/>
    <col width="28" customWidth="1" min="8" max="8"/>
    <col width="50" customWidth="1" min="9" max="9"/>
    <col width="12" customWidth="1" min="10" max="10"/>
  </cols>
  <sheetData>
    <row r="1" ht="28" customHeight="1">
      <c r="A1" s="1" t="inlineStr">
        <is>
          <t>Framework Name</t>
        </is>
      </c>
      <c r="B1" s="1" t="inlineStr">
        <is>
          <t>Total Controls</t>
        </is>
      </c>
      <c r="C1" s="1" t="inlineStr">
        <is>
          <t>Implemented</t>
        </is>
      </c>
      <c r="D1" s="1" t="inlineStr">
        <is>
          <t>Partially Implemented</t>
        </is>
      </c>
      <c r="E1" s="1" t="inlineStr">
        <is>
          <t>Not Implemented</t>
        </is>
      </c>
      <c r="F1" s="1" t="inlineStr">
        <is>
          <t>Not Applicable</t>
        </is>
      </c>
      <c r="G1" s="1" t="inlineStr">
        <is>
          <t>Calculated Compliance %</t>
        </is>
      </c>
      <c r="H1" s="1" t="inlineStr">
        <is>
          <t>Framework Posture Rating</t>
        </is>
      </c>
      <c r="I1" s="1" t="inlineStr">
        <is>
          <t>Primary Gap Area</t>
        </is>
      </c>
      <c r="J1" s="1" t="inlineStr">
        <is>
          <t>Priority</t>
        </is>
      </c>
    </row>
    <row r="2" ht="20" customHeight="1">
      <c r="A2" s="2" t="inlineStr">
        <is>
          <t>HIPAA Security Rule</t>
        </is>
      </c>
      <c r="B2" s="2" t="n">
        <v>35</v>
      </c>
      <c r="C2" s="2" t="n">
        <v>30</v>
      </c>
      <c r="D2" s="2" t="n">
        <v>4</v>
      </c>
      <c r="E2" s="2" t="n">
        <v>1</v>
      </c>
      <c r="F2" s="2" t="n">
        <v>0</v>
      </c>
      <c r="G2" s="2">
        <f>C2/B2*100</f>
        <v/>
      </c>
      <c r="H2" s="2" t="inlineStr">
        <is>
          <t>Strong Posture</t>
        </is>
      </c>
      <c r="I2" s="2" t="inlineStr">
        <is>
          <t>Vendor MFA Enforcement &amp; Staging IAM</t>
        </is>
      </c>
      <c r="J2" s="3" t="inlineStr">
        <is>
          <t>High</t>
        </is>
      </c>
    </row>
    <row r="3" ht="20" customHeight="1">
      <c r="A3" s="4" t="inlineStr">
        <is>
          <t>HIPAA Privacy Rule</t>
        </is>
      </c>
      <c r="B3" s="4" t="n">
        <v>20</v>
      </c>
      <c r="C3" s="4" t="n">
        <v>17</v>
      </c>
      <c r="D3" s="4" t="n">
        <v>3</v>
      </c>
      <c r="E3" s="4" t="n">
        <v>0</v>
      </c>
      <c r="F3" s="4" t="n">
        <v>0</v>
      </c>
      <c r="G3" s="4">
        <f>C3/B3*100</f>
        <v/>
      </c>
      <c r="H3" s="4" t="inlineStr">
        <is>
          <t>Strong Posture</t>
        </is>
      </c>
      <c r="I3" s="4" t="inlineStr">
        <is>
          <t>AI Notice of Privacy Practices Update</t>
        </is>
      </c>
      <c r="J3" s="5" t="inlineStr">
        <is>
          <t>Medium</t>
        </is>
      </c>
    </row>
    <row r="4" ht="20" customHeight="1">
      <c r="A4" s="2" t="inlineStr">
        <is>
          <t>HITECH Act</t>
        </is>
      </c>
      <c r="B4" s="2" t="n">
        <v>12</v>
      </c>
      <c r="C4" s="2" t="n">
        <v>10</v>
      </c>
      <c r="D4" s="2" t="n">
        <v>2</v>
      </c>
      <c r="E4" s="2" t="n">
        <v>0</v>
      </c>
      <c r="F4" s="2" t="n">
        <v>0</v>
      </c>
      <c r="G4" s="2">
        <f>C4/B4*100</f>
        <v/>
      </c>
      <c r="H4" s="2" t="inlineStr">
        <is>
          <t>Strong Posture</t>
        </is>
      </c>
      <c r="I4" s="2" t="inlineStr">
        <is>
          <t>Vendor Incident Breach Notification SLA</t>
        </is>
      </c>
      <c r="J4" s="3" t="inlineStr">
        <is>
          <t>High</t>
        </is>
      </c>
    </row>
    <row r="5" ht="20" customHeight="1">
      <c r="A5" s="4" t="inlineStr">
        <is>
          <t>ISO/IEC 27001:2022</t>
        </is>
      </c>
      <c r="B5" s="4" t="n">
        <v>45</v>
      </c>
      <c r="C5" s="4" t="n">
        <v>37</v>
      </c>
      <c r="D5" s="4" t="n">
        <v>6</v>
      </c>
      <c r="E5" s="4" t="n">
        <v>2</v>
      </c>
      <c r="F5" s="4" t="n">
        <v>0</v>
      </c>
      <c r="G5" s="4">
        <f>C5/B5*100</f>
        <v/>
      </c>
      <c r="H5" s="4" t="inlineStr">
        <is>
          <t>Good Posture</t>
        </is>
      </c>
      <c r="I5" s="4" t="inlineStr">
        <is>
          <t>Supplier Relationships (A.5.19) &amp; Threat Intel</t>
        </is>
      </c>
      <c r="J5" s="3" t="inlineStr">
        <is>
          <t>High</t>
        </is>
      </c>
    </row>
    <row r="6" ht="20" customHeight="1">
      <c r="A6" s="2" t="inlineStr">
        <is>
          <t>NIST CSF v2.0</t>
        </is>
      </c>
      <c r="B6" s="2" t="n">
        <v>50</v>
      </c>
      <c r="C6" s="2" t="n">
        <v>43</v>
      </c>
      <c r="D6" s="2" t="n">
        <v>5</v>
      </c>
      <c r="E6" s="2" t="n">
        <v>2</v>
      </c>
      <c r="F6" s="2" t="n">
        <v>0</v>
      </c>
      <c r="G6" s="2">
        <f>C6/B6*100</f>
        <v/>
      </c>
      <c r="H6" s="2" t="inlineStr">
        <is>
          <t>Strong Posture</t>
        </is>
      </c>
      <c r="I6" s="2" t="inlineStr">
        <is>
          <t>Supply Chain Risk Management (GV.SC)</t>
        </is>
      </c>
      <c r="J6" s="3" t="inlineStr">
        <is>
          <t>High</t>
        </is>
      </c>
    </row>
    <row r="7" ht="20" customHeight="1">
      <c r="A7" s="4" t="inlineStr">
        <is>
          <t>SOC 2 Type II (TSC)</t>
        </is>
      </c>
      <c r="B7" s="4" t="n">
        <v>40</v>
      </c>
      <c r="C7" s="4" t="n">
        <v>34</v>
      </c>
      <c r="D7" s="4" t="n">
        <v>5</v>
      </c>
      <c r="E7" s="4" t="n">
        <v>1</v>
      </c>
      <c r="F7" s="4" t="n">
        <v>0</v>
      </c>
      <c r="G7" s="4">
        <f>C7/B7*100</f>
        <v/>
      </c>
      <c r="H7" s="4" t="inlineStr">
        <is>
          <t>Strong Posture</t>
        </is>
      </c>
      <c r="I7" s="4" t="inlineStr">
        <is>
          <t>Access Certification &amp; Vendor SOC 2 CUECs</t>
        </is>
      </c>
      <c r="J7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